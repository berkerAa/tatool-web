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ifting" sheetId="1" state="visible" r:id="rId1"/>
    <sheet name="updating" sheetId="2" state="visible" r:id="rId2"/>
    <sheet name="inhibi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5"/>
  <sheetViews>
    <sheetView workbookViewId="0">
      <selection activeCell="A1" sqref="A1"/>
    </sheetView>
  </sheetViews>
  <sheetFormatPr baseColWidth="8" defaultRowHeight="15"/>
  <sheetData>
    <row r="1">
      <c r="A1" s="1" t="inlineStr">
        <is>
          <t>_index</t>
        </is>
      </c>
      <c r="B1" s="1" t="inlineStr">
        <is>
          <t>content</t>
        </is>
      </c>
      <c r="C1" s="1" t="inlineStr">
        <is>
          <t>ImageUrl</t>
        </is>
      </c>
      <c r="D1" s="1" t="inlineStr">
        <is>
          <t>ExecutorName</t>
        </is>
      </c>
    </row>
    <row r="2">
      <c r="A2" t="inlineStr">
        <is>
          <t>06</t>
        </is>
      </c>
      <c r="B2" t="inlineStr">
        <is>
          <t>Let's go! During the test trials, you will not get any feedback on the accuracy
		of your responses. This part of the test takes about 2
		minutes. Remember: Press
					the left arrow key if the image shows something smaller
						than a soccer ball . Press
					the right arrow key if the image shows something larger than a soccer ball . Ready? If you have any questions, please ask
			the experimenter now. As soon as you press the right arrow key , a countdown starts
		counting down from 3. The test starts immediately afterwards. Have fun!</t>
        </is>
      </c>
      <c r="C2">
        <f>IMAGE("https://raw.githubusercontent.com/tatool/tatool-web/master/app/projects/public/uzh-ef-battery/instructions/key_arrow_L.png")</f>
        <v/>
      </c>
      <c r="D2" t="inlineStr">
        <is>
          <t>cat_single_size</t>
        </is>
      </c>
    </row>
    <row r="3">
      <c r="A3" t="inlineStr">
        <is>
          <t>03</t>
        </is>
      </c>
      <c r="B3" t="inlineStr">
        <is>
          <t>Instruction Before the actual test starts, you will first do some practice trials
		to get used to the task. As soon as you press the right arrow key , a countdown starts
		counting down from 3. The practice trials start immediately
		afterwards.</t>
        </is>
      </c>
      <c r="C3" t="inlineStr"/>
      <c r="D3" t="inlineStr">
        <is>
          <t>cat_single_size</t>
        </is>
      </c>
    </row>
    <row r="4">
      <c r="A4" t="inlineStr">
        <is>
          <t>02</t>
        </is>
      </c>
      <c r="B4" t="inlineStr">
        <is>
          <t>Instruction The following example illustrates the procedure : Please press the right
			arrow key to proceed to the next page.</t>
        </is>
      </c>
      <c r="C4">
        <f>IMAGE("https://raw.githubusercontent.com/tatool/tatool-web/master/app/projects/public/uzh-ef-battery/instructions/shiftcat_single_football_example.png")</f>
        <v/>
      </c>
      <c r="D4" t="inlineStr">
        <is>
          <t>cat_single_size</t>
        </is>
      </c>
    </row>
    <row r="5">
      <c r="A5" t="inlineStr">
        <is>
          <t>04</t>
        </is>
      </c>
      <c r="B5" t="inlineStr">
        <is>
          <t>Let's go! You completed all practice trials. Important: During the test trials, you
		will not get any feedback on the accuracy of your responses. This part of the test takes about 2 minutes. Remember: Press
					the left arrow key if the image shows something smaller
						than a soccer ball . Press
					the right arrow key if the image shows something larger than a soccer ball . Ready? If you have any questions, please ask
			the experimenter now. As soon as you press the right arrow key , a countdown starts
		counting down from 3. The test starts immediately afterwards. Have fun!</t>
        </is>
      </c>
      <c r="C5">
        <f>IMAGE("https://raw.githubusercontent.com/tatool/tatool-web/master/app/projects/public/uzh-ef-battery/instructions/key_arrow_L.png")</f>
        <v/>
      </c>
      <c r="D5" t="inlineStr">
        <is>
          <t>cat_single_size</t>
        </is>
      </c>
    </row>
    <row r="6">
      <c r="A6" t="inlineStr">
        <is>
          <t>05</t>
        </is>
      </c>
      <c r="B6" t="inlineStr">
        <is>
          <t>Instruction In the following part of the test, you'll have to classify what is
		shown on the images again according to their size (smaller/larger than a soccer ball). The following example illustrates
		the procedure : Please press the right
			arrow key to proceed to the next page.</t>
        </is>
      </c>
      <c r="C6">
        <f>IMAGE("https://raw.githubusercontent.com/tatool/tatool-web/master/app/projects/public/uzh-ef-battery/instructions/shiftcat_single_football_example.png")</f>
        <v/>
      </c>
      <c r="D6" t="inlineStr">
        <is>
          <t>cat_single_size</t>
        </is>
      </c>
    </row>
    <row r="7">
      <c r="A7" t="inlineStr">
        <is>
          <t>01</t>
        </is>
      </c>
      <c r="B7" t="inlineStr">
        <is>
          <t>Instruction How fast are you? You'll have to classify images
		according to their size (smaller/larger than a soccer
		ball). A visual cue reminds you of the task: Press
					the left arrow key if the image shows something smaller
						than a soccer ball . Press
					the right arrow key if the image shows something larger than a soccer ball . Please try to answer as accurately and as
		quickly as possible. Please press the right
			arrow key to proceed to the next page.</t>
        </is>
      </c>
      <c r="C7">
        <f>IMAGE("https://raw.githubusercontent.com/tatool/tatool-web/master/app/projects/public/uzh-ef-battery/instructions/cue_football.png")</f>
        <v/>
      </c>
      <c r="D7" t="inlineStr">
        <is>
          <t>cat_single_size</t>
        </is>
      </c>
    </row>
    <row r="8">
      <c r="A8" t="inlineStr">
        <is>
          <t>01</t>
        </is>
      </c>
      <c r="B8" t="inlineStr">
        <is>
          <t>Instruction How fast are you? You'll have to classify images
		according to their animacy (animal/object). A visual
			cue reminds you of the task: Press
					the left arrow key if the image shows an animal . Press
					the right arrow key if the image shows an object . Please try to answer as accurately and as
		quickly as possible. Please press the right
			arrow key to proceed to the next page.</t>
        </is>
      </c>
      <c r="C8">
        <f>IMAGE("https://raw.githubusercontent.com/tatool/tatool-web/master/app/projects/public/uzh-ef-battery/instructions/cue_animacy.png")</f>
        <v/>
      </c>
      <c r="D8" t="inlineStr">
        <is>
          <t>cat_single_animacy</t>
        </is>
      </c>
    </row>
    <row r="9">
      <c r="A9" t="inlineStr">
        <is>
          <t>03</t>
        </is>
      </c>
      <c r="B9" t="inlineStr">
        <is>
          <t>Instruction Before the actual test starts, you will first do some practice trials
		to get used to the task. As soon as you press the right arrow key , a countdown starts
		counting down from 3. The practice trials start immediately
		afterwards.</t>
        </is>
      </c>
      <c r="C9" t="inlineStr"/>
      <c r="D9" t="inlineStr">
        <is>
          <t>cat_single_animacy</t>
        </is>
      </c>
    </row>
    <row r="10">
      <c r="A10" t="inlineStr">
        <is>
          <t>06</t>
        </is>
      </c>
      <c r="B10" t="inlineStr">
        <is>
          <t>Let's go! During the test trials, you will not get any feedback on the
		accuracy of your responses. This part of the test takes
		about 2 minutes. Remember: Press
					the left arrow key if the image shows an animal . Press
					the right arrow key if the image shows an object . Ready? If you have any questions, please ask
			the experimenter now. As soon as you press the right arrow key , a countdown starts
		counting down from 3. The test starts immediately afterwards. Have fun!</t>
        </is>
      </c>
      <c r="C10">
        <f>IMAGE("https://raw.githubusercontent.com/tatool/tatool-web/master/app/projects/public/uzh-ef-battery/instructions/key_arrow_L.png")</f>
        <v/>
      </c>
      <c r="D10" t="inlineStr">
        <is>
          <t>cat_single_animacy</t>
        </is>
      </c>
    </row>
    <row r="11">
      <c r="A11" t="inlineStr">
        <is>
          <t>04</t>
        </is>
      </c>
      <c r="B11" t="inlineStr">
        <is>
          <t>Let's go! You completed all practice trials. Important: During the test trials, you
		will not get any feedback on the accuracy of your responses. This part of the test takes about 2 minutes. Remember: Press
					the left arrow key if the image shows an animal . Press
					the right arrow key if the image shows an object . Ready? If you have any questions, please ask
			the experimenter now. As soon as you press the right arrow key , a countdown starts
		counting down from 3. The test starts immediately afterwards. Have fun!</t>
        </is>
      </c>
      <c r="C11">
        <f>IMAGE("https://raw.githubusercontent.com/tatool/tatool-web/master/app/projects/public/uzh-ef-battery/instructions/key_arrow_L.png")</f>
        <v/>
      </c>
      <c r="D11" t="inlineStr">
        <is>
          <t>cat_single_animacy</t>
        </is>
      </c>
    </row>
    <row r="12">
      <c r="A12" t="inlineStr">
        <is>
          <t>02</t>
        </is>
      </c>
      <c r="B12" t="inlineStr">
        <is>
          <t>Instruction The following example illustrates the procedure : Please press the right
			arrow key to proceed to the next page.</t>
        </is>
      </c>
      <c r="C12">
        <f>IMAGE("https://raw.githubusercontent.com/tatool/tatool-web/master/app/projects/public/uzh-ef-battery/instructions/shiftcat_single_animacy_example.png")</f>
        <v/>
      </c>
      <c r="D12" t="inlineStr">
        <is>
          <t>cat_single_animacy</t>
        </is>
      </c>
    </row>
    <row r="13">
      <c r="A13" t="inlineStr">
        <is>
          <t>05</t>
        </is>
      </c>
      <c r="B13" t="inlineStr">
        <is>
          <t>Instruction In the following part of the test, you'll have to classify what is
		shown on the the images again according to their animacy (animal/object). The following example illustrates the procedure : Please press the right
			arrow key to proceed to the next page.</t>
        </is>
      </c>
      <c r="C13">
        <f>IMAGE("https://raw.githubusercontent.com/tatool/tatool-web/master/app/projects/public/uzh-ef-battery/instructions/shiftcat_single_animacy_example.png")</f>
        <v/>
      </c>
      <c r="D13" t="inlineStr">
        <is>
          <t>cat_single_animacy</t>
        </is>
      </c>
    </row>
    <row r="14">
      <c r="A14" t="inlineStr">
        <is>
          <t>06</t>
        </is>
      </c>
      <c r="B14" t="inlineStr">
        <is>
          <t>Let's go! During the test trials, you will not get any feedback on the
		accuracy of your responses. This part of the test takes
		about 2 minutes. Remember: Press
					the left arrow key if the digit is odd . Press
					the right arrow key if the digit is even . Ready? If you have any questions, please ask
			the experimenter now. As soon as you press the right arrow key , a countdown starts
		counting down from 3. The test starts immediately afterwards. Have fun!</t>
        </is>
      </c>
      <c r="C14">
        <f>IMAGE("https://raw.githubusercontent.com/tatool/tatool-web/master/app/projects/public/uzh-ef-battery/instructions/key_arrow_L.png")</f>
        <v/>
      </c>
      <c r="D14" t="inlineStr">
        <is>
          <t>num_single_parity</t>
        </is>
      </c>
    </row>
    <row r="15">
      <c r="A15" t="inlineStr">
        <is>
          <t>01</t>
        </is>
      </c>
      <c r="B15" t="inlineStr">
        <is>
          <t>Instruction How fast are you? You'll have to classify digits
		according to their parity (odd/even). A visual
			cue reminds you of the task: Press
					the left arrow key if the digit is odd . Press
					the right arrow key if the digit is even . Please try to answer as accurately and as
		quickly as possible. Please press the right
			arrow key to proceed to the next page.</t>
        </is>
      </c>
      <c r="C15">
        <f>IMAGE("https://raw.githubusercontent.com/tatool/tatool-web/master/app/projects/public/uzh-ef-battery/instructions/cue_parity.png")</f>
        <v/>
      </c>
      <c r="D15" t="inlineStr">
        <is>
          <t>num_single_parity</t>
        </is>
      </c>
    </row>
    <row r="16">
      <c r="A16" t="inlineStr">
        <is>
          <t>05</t>
        </is>
      </c>
      <c r="B16" t="inlineStr">
        <is>
          <t>Instruction In the following part of the test, you'll have to classify digits
		again according to their parity (odd/even). The
		following example illustrates the procedure : Please press the right
			arrow key to proceed to the next page.</t>
        </is>
      </c>
      <c r="C16">
        <f>IMAGE("https://raw.githubusercontent.com/tatool/tatool-web/master/app/projects/public/uzh-ef-battery/instructions/shiftnum_single_parity_example.png")</f>
        <v/>
      </c>
      <c r="D16" t="inlineStr">
        <is>
          <t>num_single_parity</t>
        </is>
      </c>
    </row>
    <row r="17">
      <c r="A17" t="inlineStr">
        <is>
          <t>02</t>
        </is>
      </c>
      <c r="B17" t="inlineStr">
        <is>
          <t>Instruction The following example illustrates the procedure : Please press the right
			arrow key to proceed to the next page.</t>
        </is>
      </c>
      <c r="C17">
        <f>IMAGE("https://raw.githubusercontent.com/tatool/tatool-web/master/app/projects/public/uzh-ef-battery/instructions/shiftnum_single_parity_example.png")</f>
        <v/>
      </c>
      <c r="D17" t="inlineStr">
        <is>
          <t>num_single_parity</t>
        </is>
      </c>
    </row>
    <row r="18">
      <c r="A18" t="inlineStr">
        <is>
          <t>04</t>
        </is>
      </c>
      <c r="B18" t="inlineStr">
        <is>
          <t>Let's go! You completed all practice trials. Important: During the test trials, you
		will not get any feedback on the accuracy of your responses. This part of the test takes about 2 minutes. Remember: Press
					the left arrow key if the digit is odd . Press
					the right arrow key if the digit is even . Ready? If you have any questions, please ask
			the experimenter now. As soon as you press the right arrow key , a countdown starts
		counting down from 3. The test starts immediately afterwards. Have fun!</t>
        </is>
      </c>
      <c r="C18">
        <f>IMAGE("https://raw.githubusercontent.com/tatool/tatool-web/master/app/projects/public/uzh-ef-battery/instructions/key_arrow_L.png")</f>
        <v/>
      </c>
      <c r="D18" t="inlineStr">
        <is>
          <t>num_single_parity</t>
        </is>
      </c>
    </row>
    <row r="19">
      <c r="A19" t="inlineStr">
        <is>
          <t>03</t>
        </is>
      </c>
      <c r="B19" t="inlineStr">
        <is>
          <t>Instruction Before the actual test starts, you will first do some practice trials
		to get used to the task. As soon as you press the right arrow key , a countdown starts
		counting down from 3. The practice trials start immediately
		afterwards.</t>
        </is>
      </c>
      <c r="C19" t="inlineStr"/>
      <c r="D19" t="inlineStr">
        <is>
          <t>num_single_parity</t>
        </is>
      </c>
    </row>
    <row r="20">
      <c r="A20" t="inlineStr">
        <is>
          <t>01</t>
        </is>
      </c>
      <c r="B20" t="inlineStr">
        <is>
          <t>Instruction How good are you at switching between two tasks? You'll see digits between 1 and 9. You have to classify these digits according to their parity (odd/even) and
		their magnitude (less/greater than 5). The difficulty
		lies in only one of the two dimensions being relevant at a time. Which one that is can randomly switch .
		Thus, take care whether you're currently being asked for the parity or
		magnitude when responding. A cue at the top of the screen shows you
		which dimension is the relevant one: Parity Is the digit odd or even? Magnitude Is the digit less or greater than
					5? Please press the right
			arrow key to proceed to the next page.</t>
        </is>
      </c>
      <c r="C20">
        <f>IMAGE("https://raw.githubusercontent.com/tatool/tatool-web/master/app/projects/public/uzh-ef-battery/instructions/cue_parity.png")</f>
        <v/>
      </c>
      <c r="D20" t="inlineStr">
        <is>
          <t>num_mixed</t>
        </is>
      </c>
    </row>
    <row r="21">
      <c r="A21" t="inlineStr">
        <is>
          <t>05</t>
        </is>
      </c>
      <c r="B21" t="inlineStr">
        <is>
          <t>Let's go! You completed all practice trials. Important: During the test trials, you
		will not get any feedback on the accuracy of your responses. This part of the test takes about 5 minutes. Remember: Parity Is the digit odd or even? Magnitude Is the digit less or greater than
					5? Ready? If you have any questions, please ask
			the experimenter now. As soon as you press the right arrow key , a countdown starts
		counting down from 3. The test starts immediately afterwards. Have fun!</t>
        </is>
      </c>
      <c r="C21">
        <f>IMAGE("https://raw.githubusercontent.com/tatool/tatool-web/master/app/projects/public/uzh-ef-battery/instructions/cue_parity.png")</f>
        <v/>
      </c>
      <c r="D21" t="inlineStr">
        <is>
          <t>num_mixed</t>
        </is>
      </c>
    </row>
    <row r="22">
      <c r="A22" t="inlineStr">
        <is>
          <t>04</t>
        </is>
      </c>
      <c r="B22" t="inlineStr">
        <is>
          <t>Instruction Before the actual test starts, you will first do some practice trials
		to get used to the task. As soon as you press the right arrow key , a countdown starts
		counting down from 3. The practice trials start immediately
		afterwards.</t>
        </is>
      </c>
      <c r="C22" t="inlineStr"/>
      <c r="D22" t="inlineStr">
        <is>
          <t>num_mixed</t>
        </is>
      </c>
    </row>
    <row r="23">
      <c r="A23" t="inlineStr">
        <is>
          <t>02</t>
        </is>
      </c>
      <c r="B23" t="inlineStr">
        <is>
          <t>Instruction Please try to answer as accurately and as
		quickly as possible. Press
					the left arrow key if the digit is odd or less than 5 . Press
					the right arrow key if the digit is even or greater than 5 . Please press the right
			arrow key to proceed to the next page.</t>
        </is>
      </c>
      <c r="C23">
        <f>IMAGE("https://raw.githubusercontent.com/tatool/tatool-web/master/app/projects/public/uzh-ef-battery/instructions/key_arrow_L.png")</f>
        <v/>
      </c>
      <c r="D23" t="inlineStr">
        <is>
          <t>num_mixed</t>
        </is>
      </c>
    </row>
    <row r="24">
      <c r="A24" t="inlineStr">
        <is>
          <t>03</t>
        </is>
      </c>
      <c r="B24" t="inlineStr">
        <is>
          <t>Instruction The following example illustrates the procedure : Please press the right
			arrow key to proceed to the next page.</t>
        </is>
      </c>
      <c r="C24">
        <f>IMAGE("https://raw.githubusercontent.com/tatool/tatool-web/master/app/projects/public/uzh-ef-battery/instructions/shiftnum_example.png")</f>
        <v/>
      </c>
      <c r="D24" t="inlineStr">
        <is>
          <t>num_mixed</t>
        </is>
      </c>
    </row>
    <row r="25">
      <c r="A25" t="inlineStr">
        <is>
          <t>01</t>
        </is>
      </c>
      <c r="B25" t="inlineStr">
        <is>
          <t>Instruction How fast are you? You'll have to classify images
		according to their shape (round/angular). A visual
			cue reminds you of the task: Press
					the left arrow key if the object is round . Press
					the right arrow key if the object is angular . Please try to answer as accurately and as
		quickly as possible. Please press the right
			arrow key to proceed to the next page.</t>
        </is>
      </c>
      <c r="C25">
        <f>IMAGE("https://raw.githubusercontent.com/tatool/tatool-web/master/app/projects/public/uzh-ef-battery/instructions/cue_shape.png")</f>
        <v/>
      </c>
      <c r="D25" t="inlineStr">
        <is>
          <t>fig_single_shape</t>
        </is>
      </c>
    </row>
    <row r="26">
      <c r="A26" t="inlineStr">
        <is>
          <t>05</t>
        </is>
      </c>
      <c r="B26" t="inlineStr">
        <is>
          <t>Instruction In the following part of the test, you'll have to classify objects
		again according to their shape (round/angular). The
		following example illustrates the procedure : Please press the right
			arrow key to proceed to the next page.</t>
        </is>
      </c>
      <c r="C26">
        <f>IMAGE("https://raw.githubusercontent.com/tatool/tatool-web/master/app/projects/public/uzh-ef-battery/instructions/shiftfig_single_shape_example.png")</f>
        <v/>
      </c>
      <c r="D26" t="inlineStr">
        <is>
          <t>fig_single_shape</t>
        </is>
      </c>
    </row>
    <row r="27">
      <c r="A27" t="inlineStr">
        <is>
          <t>04</t>
        </is>
      </c>
      <c r="B27" t="inlineStr">
        <is>
          <t>Let's go! You completed all practice trials. Important: During the test trials, you
		will not get any feedback on the accuracy of your responses. This part of the test takes about 2 minutes. Remember: Press
					the left arrow key if the object is round . Press
					the right arrow key if the object is angular . Ready? If you have any questions, please ask
			the experimenter now. As soon as you press the right arrow key , a countdown starts
		counting down from 3. The test starts immediately afterwards. Have fun!</t>
        </is>
      </c>
      <c r="C27">
        <f>IMAGE("https://raw.githubusercontent.com/tatool/tatool-web/master/app/projects/public/uzh-ef-battery/instructions/key_arrow_L.png")</f>
        <v/>
      </c>
      <c r="D27" t="inlineStr">
        <is>
          <t>fig_single_shape</t>
        </is>
      </c>
    </row>
    <row r="28">
      <c r="A28" t="inlineStr">
        <is>
          <t>06</t>
        </is>
      </c>
      <c r="B28" t="inlineStr">
        <is>
          <t>Let's go! During the test trials, you will not get any feedback on the
		accuracy of your responses. This part of the test takes
		about 2 minutes. Remember: Press
					the left arrow key if the object is round . Press
					the right arrow key if the object is angular . Ready? If you have any questions, please ask
			the experimenter now. As soon as you press the right arrow key , a countdown starts
		counting down from 3. The test starts immediately afterwards. Have fun!</t>
        </is>
      </c>
      <c r="C28">
        <f>IMAGE("https://raw.githubusercontent.com/tatool/tatool-web/master/app/projects/public/uzh-ef-battery/instructions/key_arrow_L.png")</f>
        <v/>
      </c>
      <c r="D28" t="inlineStr">
        <is>
          <t>fig_single_shape</t>
        </is>
      </c>
    </row>
    <row r="29">
      <c r="A29" t="inlineStr">
        <is>
          <t>02_spiky</t>
        </is>
      </c>
      <c r="B29" t="inlineStr">
        <is>
          <t>Instruction The following example illustrates the procedure : Please press the right
			arrow key to proceed to the next page.</t>
        </is>
      </c>
      <c r="C29">
        <f>IMAGE("https://raw.githubusercontent.com/tatool/tatool-web/master/app/projects/public/uzh-ef-battery/instructions/shiftfig_single_shape_example_spiky.png")</f>
        <v/>
      </c>
      <c r="D29" t="inlineStr">
        <is>
          <t>fig_single_shape</t>
        </is>
      </c>
    </row>
    <row r="30">
      <c r="A30" t="inlineStr">
        <is>
          <t>06_spiky</t>
        </is>
      </c>
      <c r="B30" t="inlineStr">
        <is>
          <t>Let's go! During the test trials, you will not get any feedback on the
		accuracy of your responses. This part of the test takes
		about 2 minutes. Remember: Press
					the left arrow key if the object is round . Press
					the right arrow key if the object is spiky . Ready? If you have any questions, please ask
			the experimenter now. As soon as you press the right arrow key , a countdown starts
		counting down from 3. The test starts immediately afterwards. Have fun!</t>
        </is>
      </c>
      <c r="C30">
        <f>IMAGE("https://raw.githubusercontent.com/tatool/tatool-web/master/app/projects/public/uzh-ef-battery/instructions/key_arrow_L.png")</f>
        <v/>
      </c>
      <c r="D30" t="inlineStr">
        <is>
          <t>fig_single_shape</t>
        </is>
      </c>
    </row>
    <row r="31">
      <c r="A31" t="inlineStr">
        <is>
          <t>04_spiky</t>
        </is>
      </c>
      <c r="B31" t="inlineStr">
        <is>
          <t>Let's go! You completed all practice trials. Important: During the test trials, you
		will not get any feedback on the accuracy of your responses. This part of the test takes about 2 minutes. Remember: Press
					the left arrow key if the object is round . Press
					the right arrow key if the object is spiky . Ready? If you have any questions, please ask
			the experimenter now. As soon as you press the right arrow key , a countdown starts
		counting down from 3. The test starts immediately afterwards. Have fun!</t>
        </is>
      </c>
      <c r="C31">
        <f>IMAGE("https://raw.githubusercontent.com/tatool/tatool-web/master/app/projects/public/uzh-ef-battery/instructions/key_arrow_L.png")</f>
        <v/>
      </c>
      <c r="D31" t="inlineStr">
        <is>
          <t>fig_single_shape</t>
        </is>
      </c>
    </row>
    <row r="32">
      <c r="A32" t="inlineStr">
        <is>
          <t>03</t>
        </is>
      </c>
      <c r="B32" t="inlineStr">
        <is>
          <t>Instruction Before the actual test starts, you will first do some practice trials
		to get used to the task. As soon as you press the right arrow key , a countdown starts
		counting down from 3. The practice trials start immediately
		afterwards.</t>
        </is>
      </c>
      <c r="C32" t="inlineStr"/>
      <c r="D32" t="inlineStr">
        <is>
          <t>fig_single_shape</t>
        </is>
      </c>
    </row>
    <row r="33">
      <c r="A33" t="inlineStr">
        <is>
          <t>05_spiky</t>
        </is>
      </c>
      <c r="B33" t="inlineStr">
        <is>
          <t>Instruction In the following part of the test, you'll have to classify objects
		again according to their shape (round/spiky). The
		following example illustrates the procedure : Please press the right
			arrow key to proceed to the next page.</t>
        </is>
      </c>
      <c r="C33">
        <f>IMAGE("https://raw.githubusercontent.com/tatool/tatool-web/master/app/projects/public/uzh-ef-battery/instructions/shiftfig_single_shape_example_spiky.png")</f>
        <v/>
      </c>
      <c r="D33" t="inlineStr">
        <is>
          <t>fig_single_shape</t>
        </is>
      </c>
    </row>
    <row r="34">
      <c r="A34" t="inlineStr">
        <is>
          <t>02</t>
        </is>
      </c>
      <c r="B34" t="inlineStr">
        <is>
          <t>Instruction The following example illustrates the procedure : Please press the right
			arrow key to proceed to the next page.</t>
        </is>
      </c>
      <c r="C34">
        <f>IMAGE("https://raw.githubusercontent.com/tatool/tatool-web/master/app/projects/public/uzh-ef-battery/instructions/shiftfig_single_shape_example.png")</f>
        <v/>
      </c>
      <c r="D34" t="inlineStr">
        <is>
          <t>fig_single_shape</t>
        </is>
      </c>
    </row>
    <row r="35">
      <c r="A35" t="inlineStr">
        <is>
          <t>01_spiky</t>
        </is>
      </c>
      <c r="B35" t="inlineStr">
        <is>
          <t>Instruction How fast are you? You'll have to classify images
		according to their shape (round/spiky). A visual
			cue reminds you of the task: Press
					the left arrow key if the object is round . Press
					the right arrow key if the object is spiky . Please try to answer as accurately and as
		quickly as possible. Please press the right
			arrow key to proceed to the next page.</t>
        </is>
      </c>
      <c r="C35">
        <f>IMAGE("https://raw.githubusercontent.com/tatool/tatool-web/master/app/projects/public/uzh-ef-battery/instructions/cue_shape.png")</f>
        <v/>
      </c>
      <c r="D35" t="inlineStr">
        <is>
          <t>fig_single_shape</t>
        </is>
      </c>
    </row>
    <row r="36">
      <c r="A36" t="inlineStr">
        <is>
          <t>05</t>
        </is>
      </c>
      <c r="B36" t="inlineStr">
        <is>
          <t>Let's go! You completed all practice trials. Important: During the test trials, you
		will not get any feedback on the accuracy of your responses. This part of the test takes about 5 minutes. Remember: Shape Is the object round or angular? Color Is the object blue or green? Ready? If you have any questions, please ask
			the experimenter now. As soon as you press the right arrow key , a countdown starts
		counting down from 3. The test starts immediately afterwards. Have fun!</t>
        </is>
      </c>
      <c r="C36">
        <f>IMAGE("https://raw.githubusercontent.com/tatool/tatool-web/master/app/projects/public/uzh-ef-battery/instructions/cue_shape.png")</f>
        <v/>
      </c>
      <c r="D36" t="inlineStr">
        <is>
          <t>fig_mixed</t>
        </is>
      </c>
    </row>
    <row r="37">
      <c r="A37" t="inlineStr">
        <is>
          <t>04</t>
        </is>
      </c>
      <c r="B37" t="inlineStr">
        <is>
          <t>Instruction Before the actual test starts, you will first do some practice trials
		to get used to the task. As soon as you press the right arrow key , a countdown starts
		counting down from 3. The practice trials start immediately
		afterwards.</t>
        </is>
      </c>
      <c r="C37" t="inlineStr"/>
      <c r="D37" t="inlineStr">
        <is>
          <t>fig_mixed</t>
        </is>
      </c>
    </row>
    <row r="38">
      <c r="A38" t="inlineStr">
        <is>
          <t>03_spiky</t>
        </is>
      </c>
      <c r="B38" t="inlineStr">
        <is>
          <t>Instruction The following example illustrates the procedure : Please press the right
			arrow key to proceed to the next page.</t>
        </is>
      </c>
      <c r="C38">
        <f>IMAGE("https://raw.githubusercontent.com/tatool/tatool-web/master/app/projects/public/uzh-ef-battery/instructions/shiftfig_example_spiky.png")</f>
        <v/>
      </c>
      <c r="D38" t="inlineStr">
        <is>
          <t>fig_mixed</t>
        </is>
      </c>
    </row>
    <row r="39">
      <c r="A39" t="inlineStr">
        <is>
          <t>03</t>
        </is>
      </c>
      <c r="B39" t="inlineStr">
        <is>
          <t>Instruction The following example illustrates the procedure : Please press the right
			arrow key to proceed to the next page.</t>
        </is>
      </c>
      <c r="C39">
        <f>IMAGE("https://raw.githubusercontent.com/tatool/tatool-web/master/app/projects/public/uzh-ef-battery/instructions/shiftfig_example.png")</f>
        <v/>
      </c>
      <c r="D39" t="inlineStr">
        <is>
          <t>fig_mixed</t>
        </is>
      </c>
    </row>
    <row r="40">
      <c r="A40" t="inlineStr">
        <is>
          <t>01_spiky</t>
        </is>
      </c>
      <c r="B40" t="inlineStr">
        <is>
          <t>Instruction How good are you at switching between two tasks? You'll see objects with different shapes and colors. You have to classify these objects according to their shape (round/spiky) and their color (blue/green). The
		difficulty lies in only one of the two dimensions
			being relevant at a time. Which one that is can randomly
			switch . Thus, take care whether you're currently being asked for the
		shape or color when responding. A cue at the top of the screen shows
		you which dimension is the relevant one: Shape Is the object round or spiky? Color Is the object blue or green? Please press the right
			arrow key to proceed to the next page.</t>
        </is>
      </c>
      <c r="C40">
        <f>IMAGE("https://raw.githubusercontent.com/tatool/tatool-web/master/app/projects/public/uzh-ef-battery/instructions/cue_shape.png")</f>
        <v/>
      </c>
      <c r="D40" t="inlineStr">
        <is>
          <t>fig_mixed</t>
        </is>
      </c>
    </row>
    <row r="41">
      <c r="A41" t="inlineStr">
        <is>
          <t>01</t>
        </is>
      </c>
      <c r="B41" t="inlineStr">
        <is>
          <t>Instruction How good are you at switching between two tasks? You'll see objects with different shapes and colors. You have to classify these objects according to their shape (round/angular) and their color (blue/green). The
		difficulty lies in only one of the two dimensions
			being relevant at a time. Which one that is can randomly
			switch . Thus, take care whether you're currently being asked for the
		shape or color when responding. A cue at the top of the screen shows
		you which dimension is the relevant one: Shape Is the object round or angular? Color Is the object blue or green? Please press the right
			arrow key to proceed to the next page.</t>
        </is>
      </c>
      <c r="C41">
        <f>IMAGE("https://raw.githubusercontent.com/tatool/tatool-web/master/app/projects/public/uzh-ef-battery/instructions/cue_shape.png")</f>
        <v/>
      </c>
      <c r="D41" t="inlineStr">
        <is>
          <t>fig_mixed</t>
        </is>
      </c>
    </row>
    <row r="42">
      <c r="A42" t="inlineStr">
        <is>
          <t>02_spiky</t>
        </is>
      </c>
      <c r="B42" t="inlineStr">
        <is>
          <t>Instruction Please try to answer as accurately and as
		quickly as possible. Press
					the left arrow key if the object is round or blue . Press
					the right arrow key if the object is spiky or green . Please press the right
			arrow key to proceed to the next page.</t>
        </is>
      </c>
      <c r="C42">
        <f>IMAGE("https://raw.githubusercontent.com/tatool/tatool-web/master/app/projects/public/uzh-ef-battery/instructions/key_arrow_L.png")</f>
        <v/>
      </c>
      <c r="D42" t="inlineStr">
        <is>
          <t>fig_mixed</t>
        </is>
      </c>
    </row>
    <row r="43">
      <c r="A43" t="inlineStr">
        <is>
          <t>02</t>
        </is>
      </c>
      <c r="B43" t="inlineStr">
        <is>
          <t>Instruction Please try to answer as accurately and as
		quickly as possible. Press
					the left arrow key if the object is round or blue . Press
					the right arrow key if the object is angular or green . Please press the right
			arrow key to proceed to the next page.</t>
        </is>
      </c>
      <c r="C43">
        <f>IMAGE("https://raw.githubusercontent.com/tatool/tatool-web/master/app/projects/public/uzh-ef-battery/instructions/key_arrow_L.png")</f>
        <v/>
      </c>
      <c r="D43" t="inlineStr">
        <is>
          <t>fig_mixed</t>
        </is>
      </c>
    </row>
    <row r="44">
      <c r="A44" t="inlineStr">
        <is>
          <t>05_spiky</t>
        </is>
      </c>
      <c r="B44" t="inlineStr">
        <is>
          <t>Let's go! You completed all practice trials. Important: During the test trials, you
		will not get any feedback on the accuracy of your responses. This part of the test takes about 5 minutes. Remember: Shape Is the object round or spiky? Color Is the object blue or green? Ready? If you have any questions, please ask
			the experimenter now. As soon as you press the right arrow key , a countdown starts
		counting down from 3. The test starts immediately afterwards. Have fun!</t>
        </is>
      </c>
      <c r="C44">
        <f>IMAGE("https://raw.githubusercontent.com/tatool/tatool-web/master/app/projects/public/uzh-ef-battery/instructions/cue_shape.png")</f>
        <v/>
      </c>
      <c r="D44" t="inlineStr">
        <is>
          <t>fig_mixed</t>
        </is>
      </c>
    </row>
    <row r="45">
      <c r="A45" t="inlineStr">
        <is>
          <t>01</t>
        </is>
      </c>
      <c r="B45" t="inlineStr">
        <is>
          <t>Instruction The following short tests measure your processing speed and mental
		flexibility. In the first two tasks, you'll have to
		classify objects as quickly and as accurately as possible according to
		specified rules. Next, the two tasks will be combined and
		you'll have to classify the objects according to changing rules.This
		procedure serves to assess your performance in switching between
		tasks. At the end and to measure your increase in accuracy
		and speed, you'll once again complete both tasks separately. Please press the right
			arrow key to proceed to the next page.</t>
        </is>
      </c>
      <c r="C45" t="inlineStr"/>
      <c r="D45" t="inlineStr">
        <is>
          <t>cat_general</t>
        </is>
      </c>
    </row>
    <row r="46">
      <c r="A46" t="inlineStr">
        <is>
          <t>01</t>
        </is>
      </c>
      <c r="B46" t="inlineStr">
        <is>
          <t>Instruction How fast are you? You'll have to classify digits
		according to their magnitude (less/greater than 5). A visual cue reminds you of the task: Press
					the left arrow key if the digit is less
						than 5 . Press
					the right arrow key if the digit is greater
						than 5 . Please try to answer as accurately and as
		quickly as possible. Please press the right
			arrow key to proceed to the next page.</t>
        </is>
      </c>
      <c r="C46">
        <f>IMAGE("https://raw.githubusercontent.com/tatool/tatool-web/master/app/projects/public/uzh-ef-battery/instructions/cue_size.png")</f>
        <v/>
      </c>
      <c r="D46" t="inlineStr">
        <is>
          <t>num_single_magnitude</t>
        </is>
      </c>
    </row>
    <row r="47">
      <c r="A47" t="inlineStr">
        <is>
          <t>03</t>
        </is>
      </c>
      <c r="B47" t="inlineStr">
        <is>
          <t>Instruction Before the actual test starts, you will first do some practice trials
		to get used to the task. As soon as you press the right arrow key , a countdown starts
		counting down from 3. The practice trials start immediately
		afterwards.</t>
        </is>
      </c>
      <c r="C47" t="inlineStr"/>
      <c r="D47" t="inlineStr">
        <is>
          <t>num_single_magnitude</t>
        </is>
      </c>
    </row>
    <row r="48">
      <c r="A48" t="inlineStr">
        <is>
          <t>04</t>
        </is>
      </c>
      <c r="B48" t="inlineStr">
        <is>
          <t>Let's go! You completed all practice trials. Important: During the test trials, you
		will not get any feedback on the accuracy of your responses. This part of the test takes about 2 minutes. Remember: Press
					the left arrow key if the digit is less
						than 5 . Press
					the right arrow key if the digit is greater
						than 5 . Ready? If you have any questions, please ask
			the experimenter now. As soon as you press the right arrow key , a countdown starts
		counting down from 3. The test starts immediately afterwards. Have fun!</t>
        </is>
      </c>
      <c r="C48">
        <f>IMAGE("https://raw.githubusercontent.com/tatool/tatool-web/master/app/projects/public/uzh-ef-battery/instructions/key_arrow_L.png")</f>
        <v/>
      </c>
      <c r="D48" t="inlineStr">
        <is>
          <t>num_single_magnitude</t>
        </is>
      </c>
    </row>
    <row r="49">
      <c r="A49" t="inlineStr">
        <is>
          <t>05</t>
        </is>
      </c>
      <c r="B49" t="inlineStr">
        <is>
          <t>Instruction In the following part of the test, you'll have to classify digits
		again according to their magnitude (less/greater than
		5). The following example illustrates the procedure : Please press the right
			arrow key to proceed to the next page.</t>
        </is>
      </c>
      <c r="C49">
        <f>IMAGE("https://raw.githubusercontent.com/tatool/tatool-web/master/app/projects/public/uzh-ef-battery/instructions/shiftnum_single_size_example.png")</f>
        <v/>
      </c>
      <c r="D49" t="inlineStr">
        <is>
          <t>num_single_magnitude</t>
        </is>
      </c>
    </row>
    <row r="50">
      <c r="A50" t="inlineStr">
        <is>
          <t>06</t>
        </is>
      </c>
      <c r="B50" t="inlineStr">
        <is>
          <t>Let's go! During the test trials, you will not get any feedback on the accuracy
		of your responses. This part of the test takes about 2
		minutes. Remember: Press
					the left arrow key if the digit is less
						than 5 . Press
					the right arrow key if the digit is greater
						than 5 . Ready? If you have any questions, please ask
			the experimenter now. As soon as you press the right arrow key , a countdown starts
		counting down from 3. The test starts immediately afterwards. Have fun!</t>
        </is>
      </c>
      <c r="C50">
        <f>IMAGE("https://raw.githubusercontent.com/tatool/tatool-web/master/app/projects/public/uzh-ef-battery/instructions/key_arrow_L.png")</f>
        <v/>
      </c>
      <c r="D50" t="inlineStr">
        <is>
          <t>num_single_magnitude</t>
        </is>
      </c>
    </row>
    <row r="51">
      <c r="A51" t="inlineStr">
        <is>
          <t>02</t>
        </is>
      </c>
      <c r="B51" t="inlineStr">
        <is>
          <t>Instruction The following example illustrates the procedure : Please press the right
			arrow key to proceed to the next page.</t>
        </is>
      </c>
      <c r="C51">
        <f>IMAGE("https://raw.githubusercontent.com/tatool/tatool-web/master/app/projects/public/uzh-ef-battery/instructions/shiftnum_single_size_example.png")</f>
        <v/>
      </c>
      <c r="D51" t="inlineStr">
        <is>
          <t>num_single_magnitude</t>
        </is>
      </c>
    </row>
    <row r="52">
      <c r="A52" t="inlineStr">
        <is>
          <t>05</t>
        </is>
      </c>
      <c r="B52" t="inlineStr">
        <is>
          <t>Let's go! You completed all practice trials. Important: During the test trials, you
		will not get any feedback on the accuracy of your responses. This part of the test takes about 5 minutes. Remember: Animacy Does the image show an animal
					or an object? Size Is the animal or object
					smaller or larger than a soccer ball? Ready? If you have any questions, please ask
			the experimenter now. As soon as you press the right arrow key , a countdown starts
		counting down from 3. The test starts immediately afterwards. Have fun!</t>
        </is>
      </c>
      <c r="C52">
        <f>IMAGE("https://raw.githubusercontent.com/tatool/tatool-web/master/app/projects/public/uzh-ef-battery/instructions/cue_animacy.png")</f>
        <v/>
      </c>
      <c r="D52" t="inlineStr">
        <is>
          <t>cat_mixed</t>
        </is>
      </c>
    </row>
    <row r="53">
      <c r="A53" t="inlineStr">
        <is>
          <t>03</t>
        </is>
      </c>
      <c r="B53" t="inlineStr">
        <is>
          <t>Instruction The following example illustrates the procedure : Please press the right
			arrow key to proceed to the next page.</t>
        </is>
      </c>
      <c r="C53">
        <f>IMAGE("https://raw.githubusercontent.com/tatool/tatool-web/master/app/projects/public/uzh-ef-battery/instructions/shiftcat_example.png")</f>
        <v/>
      </c>
      <c r="D53" t="inlineStr">
        <is>
          <t>cat_mixed</t>
        </is>
      </c>
    </row>
    <row r="54">
      <c r="A54" t="inlineStr">
        <is>
          <t>04</t>
        </is>
      </c>
      <c r="B54" t="inlineStr">
        <is>
          <t>Instruction Before the actual test starts, you will first do some practice trials
		to get used to the task. As soon as you press the right arrow key , a countdown starts
		counting down from 3. The practice trials start immediately
		afterwards.</t>
        </is>
      </c>
      <c r="C54" t="inlineStr"/>
      <c r="D54" t="inlineStr">
        <is>
          <t>cat_mixed</t>
        </is>
      </c>
    </row>
    <row r="55">
      <c r="A55" t="inlineStr">
        <is>
          <t>02</t>
        </is>
      </c>
      <c r="B55" t="inlineStr">
        <is>
          <t>Instruction Please try to answer as accurately and as
		quickly as possible. Press the left
						arrow key if the image shows an animal or
					something smaller than a soccer ball . Press the right
						arrow key if the animal shows an object or
					something larger than a soccer ball . Please press the right
			arrow key to proceed to the next page.</t>
        </is>
      </c>
      <c r="C55">
        <f>IMAGE("https://raw.githubusercontent.com/tatool/tatool-web/master/app/projects/public/uzh-ef-battery/instructions/key_arrow_L.png")</f>
        <v/>
      </c>
      <c r="D55" t="inlineStr">
        <is>
          <t>cat_mixed</t>
        </is>
      </c>
    </row>
    <row r="56">
      <c r="A56" t="inlineStr">
        <is>
          <t>01</t>
        </is>
      </c>
      <c r="B56" t="inlineStr">
        <is>
          <t>Instruction How good are you at switching between two tasks? You'll see images of animals and objects that are of a different size
		in the real-world. You have to classify these images
		according to their animacy (animal/object) and their size (smaller/larger than a soccer ball). The
		difficulty lies in only one of the two dimensions
			being relevant at a time. Which one that is can randomly
			switch . Thus, take care whether you're currently being asked for the
		animacy or size when responding. A cue at the top of the screen shows
		you which dimension is the relevant one: Animacy Does the image show an animal
					or an object? Size Is the animal or object
					smaller or larger than a soccer ball? Please press the right
			arrow key to proceed to the next page.</t>
        </is>
      </c>
      <c r="C56">
        <f>IMAGE("https://raw.githubusercontent.com/tatool/tatool-web/master/app/projects/public/uzh-ef-battery/instructions/cue_animacy.png")</f>
        <v/>
      </c>
      <c r="D56" t="inlineStr">
        <is>
          <t>cat_mixed</t>
        </is>
      </c>
    </row>
    <row r="57">
      <c r="A57" t="inlineStr">
        <is>
          <t>06</t>
        </is>
      </c>
      <c r="B57" t="inlineStr">
        <is>
          <t>Let's go! During the test trials, you will not get any feedback on the
		accuracy of your responses. This part of the test takes
		about 2 minutes. Remember: Press
					the left arrow key if the object is blue . Press
					the right arrow key if the object is green . Ready? If you have any questions, please ask
			the experimenter now. As soon as you press the right arrow key , a countdown starts
		counting down from 3. The test starts immediately afterwards. Have fun!</t>
        </is>
      </c>
      <c r="C57">
        <f>IMAGE("https://raw.githubusercontent.com/tatool/tatool-web/master/app/projects/public/uzh-ef-battery/instructions/key_arrow_L.png")</f>
        <v/>
      </c>
      <c r="D57" t="inlineStr">
        <is>
          <t>fig_single_color</t>
        </is>
      </c>
    </row>
    <row r="58">
      <c r="A58" t="inlineStr">
        <is>
          <t>02</t>
        </is>
      </c>
      <c r="B58" t="inlineStr">
        <is>
          <t>Instruction The following example illustrates the procedure : Please press the right
			arrow key to proceed to the next page.</t>
        </is>
      </c>
      <c r="C58">
        <f>IMAGE("https://raw.githubusercontent.com/tatool/tatool-web/master/app/projects/public/uzh-ef-battery/instructions/shiftfig_single_color_example.png")</f>
        <v/>
      </c>
      <c r="D58" t="inlineStr">
        <is>
          <t>fig_single_color</t>
        </is>
      </c>
    </row>
    <row r="59">
      <c r="A59" t="inlineStr">
        <is>
          <t>01</t>
        </is>
      </c>
      <c r="B59" t="inlineStr">
        <is>
          <t>Instruction How fast are you? You'll have to classify images
		according to their color (blue/green). A visual
			cue reminds you of the task: Press
					the left arrow key if the object is blue . Press
					the right arrow key if the object is green . Please try to answer as accurately and as
		quickly as possible. Please press the right
			arrow key to proceed to the next page.</t>
        </is>
      </c>
      <c r="C59">
        <f>IMAGE("https://raw.githubusercontent.com/tatool/tatool-web/master/app/projects/public/uzh-ef-battery/instructions/cue_color.png")</f>
        <v/>
      </c>
      <c r="D59" t="inlineStr">
        <is>
          <t>fig_single_color</t>
        </is>
      </c>
    </row>
    <row r="60">
      <c r="A60" t="inlineStr">
        <is>
          <t>05</t>
        </is>
      </c>
      <c r="B60" t="inlineStr">
        <is>
          <t>Instruction In the following part of the test, you'll have to classify objects
		again according to their color (blue/green). The
		following example illustrates the procedure : Please press the right
			arrow key to proceed to the next page.</t>
        </is>
      </c>
      <c r="C60">
        <f>IMAGE("https://raw.githubusercontent.com/tatool/tatool-web/master/app/projects/public/uzh-ef-battery/instructions/shiftfig_single_color_example.png")</f>
        <v/>
      </c>
      <c r="D60" t="inlineStr">
        <is>
          <t>fig_single_color</t>
        </is>
      </c>
    </row>
    <row r="61">
      <c r="A61" t="inlineStr">
        <is>
          <t>03</t>
        </is>
      </c>
      <c r="B61" t="inlineStr">
        <is>
          <t>Instruction Before the actual test starts, you will first do some practice trials
		to get used to the task. As soon as you press the right arrow key , a countdown starts
		counting down from 3. The practice trials start immediately
		afterwards.</t>
        </is>
      </c>
      <c r="C61" t="inlineStr"/>
      <c r="D61" t="inlineStr">
        <is>
          <t>fig_single_color</t>
        </is>
      </c>
    </row>
    <row r="62">
      <c r="A62" t="inlineStr">
        <is>
          <t>04</t>
        </is>
      </c>
      <c r="B62" t="inlineStr">
        <is>
          <t>Let's go! You completed all practice trials. Important: During the test trials, you
		will not get any feedback on the accuracy of your responses. This part of the test takes about 2 minutes. Remember: Press
					the left arrow key if the object is blue . Press
					the right arrow key if the object is green . Ready? If you have any questions, please ask
			the experimenter now. As soon as you press the right arrow key , a countdown starts
		counting down from 3. The test starts immediately afterwards. Have fun!</t>
        </is>
      </c>
      <c r="C62">
        <f>IMAGE("https://raw.githubusercontent.com/tatool/tatool-web/master/app/projects/public/uzh-ef-battery/instructions/key_arrow_L.png")</f>
        <v/>
      </c>
      <c r="D62" t="inlineStr">
        <is>
          <t>fig_single_color</t>
        </is>
      </c>
    </row>
    <row r="63">
      <c r="A63" t="inlineStr">
        <is>
          <t>01_spiky</t>
        </is>
      </c>
      <c r="B63" t="inlineStr">
        <is>
          <t>Instruction The following short tests measure your processing speed and your ability to 
		switch between different tasks. In the first two tasks, you'll have to
		classify objects as quickly and as accurately as possible according to
		specified rules. Next, the two tasks will be combined and
		you'll have to classify the objects according to changing rules.This
		procedure serves to assess your performance in switching between
		tasks. At the end and to measure your increase in accuracy
		and speed, you'll once again complete both tasks separately. Please press the right
			arrow key to proceed to the next page.</t>
        </is>
      </c>
      <c r="C63" t="inlineStr"/>
      <c r="D63" t="inlineStr">
        <is>
          <t>fig_general</t>
        </is>
      </c>
    </row>
    <row r="64">
      <c r="A64" t="inlineStr">
        <is>
          <t>01</t>
        </is>
      </c>
      <c r="B64" t="inlineStr">
        <is>
          <t>Instruction The following short tests measure your processing speed and mental
		flexibility. In the first two tasks, you'll have to
		classify objects as quickly and as accurately as possible according to
		specified rules. Next, the two tasks will be combined and
		you'll have to classify the objects according to changing rules.This
		procedure serves to assess your performance in switching between
		tasks. At the end and to measure your increase in accuracy
		and speed, you'll once again complete both tasks separately. Please press the right
			arrow key to proceed to the next page.</t>
        </is>
      </c>
      <c r="C64" t="inlineStr"/>
      <c r="D64" t="inlineStr">
        <is>
          <t>fig_general</t>
        </is>
      </c>
    </row>
    <row r="65">
      <c r="A65" t="inlineStr">
        <is>
          <t>01</t>
        </is>
      </c>
      <c r="B65" t="inlineStr">
        <is>
          <t>Instruction The following short tests measure your processing speed and mental
		flexibility. In the first two tasks, you'll have to
		classify objects as quickly and as accurately as possible according to
		specified rules. Next, the two tasks will be combined and
		you'll have to classify the objects according to changing rules.This
		procedure serves to assess your performance in switching between
		tasks. At the end and to measure your increase in accuracy
		and speed, you'll once again complete both tasks separately. Please press the right
			arrow key to proceed to the next page.</t>
        </is>
      </c>
      <c r="C65" t="inlineStr"/>
      <c r="D65" t="inlineStr">
        <is>
          <t>num_general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inlineStr">
        <is>
          <t>_index</t>
        </is>
      </c>
      <c r="B1" s="1" t="inlineStr">
        <is>
          <t>content</t>
        </is>
      </c>
      <c r="C1" s="1" t="inlineStr">
        <is>
          <t>ImageUrl</t>
        </is>
      </c>
      <c r="D1" s="1" t="inlineStr">
        <is>
          <t>ExecutorName</t>
        </is>
      </c>
    </row>
    <row r="2">
      <c r="A2" t="inlineStr">
        <is>
          <t>02</t>
        </is>
      </c>
      <c r="B2" t="inlineStr">
        <is>
          <t>Instruction Next, the updating phase follows. Some of the
		previously memorized colors are now presented again with the digit
		having the same or a new value. You have to remember each color's current
			digit . In the recall phase at
		the end of each trial, you'll be asked to enter the current digit for
		each of the colors using the keyboard. Please try
		to answer as accurately as possible. Please press the right
			arrow key to proceed to the next page.</t>
        </is>
      </c>
      <c r="C2" t="inlineStr"/>
      <c r="D2" t="inlineStr">
        <is>
          <t>number</t>
        </is>
      </c>
    </row>
    <row r="3">
      <c r="A3" t="inlineStr">
        <is>
          <t>04</t>
        </is>
      </c>
      <c r="B3" t="inlineStr">
        <is>
          <t>Instruction Before the actual test starts, you will first do some practice trials
		to get used to the task. As soon as you press the right arrow key , a countdown starts
		counting down from 3. The practice trials start immediately
		afterwards.</t>
        </is>
      </c>
      <c r="C3" t="inlineStr"/>
      <c r="D3" t="inlineStr">
        <is>
          <t>number</t>
        </is>
      </c>
    </row>
    <row r="4">
      <c r="A4" t="inlineStr">
        <is>
          <t>03</t>
        </is>
      </c>
      <c r="B4" t="inlineStr">
        <is>
          <t>Instruction The following example illustrates the procedure : Please press the right
			arrow key to proceed to the next page.</t>
        </is>
      </c>
      <c r="C4">
        <f>IMAGE("https://raw.githubusercontent.com/tatool/tatool-web/master/app/projects/public/uzh-ef-battery/instructions/digitcolor_example.png")</f>
        <v/>
      </c>
      <c r="D4" t="inlineStr">
        <is>
          <t>number</t>
        </is>
      </c>
    </row>
    <row r="5">
      <c r="A5" t="inlineStr">
        <is>
          <t>05</t>
        </is>
      </c>
      <c r="B5" t="inlineStr">
        <is>
          <t>Let's go! You completed all practice trials. Important: During the test trials, you
		will not get any feedback on the accuracy of your responses. This task takes about 10 minutes, and you can take a short break in
		the middle. Remember: For each color, enter the digit (between 1 and 9) that was last
		presented in that color. Ready? If you have any questions, please ask
			the experimenter now. As soon as you press the right arrow key , a countdown starts
		counting down from 3. The test starts immediately afterwards. Have fun!</t>
        </is>
      </c>
      <c r="C5" t="inlineStr"/>
      <c r="D5" t="inlineStr">
        <is>
          <t>number</t>
        </is>
      </c>
    </row>
    <row r="6">
      <c r="A6" t="inlineStr">
        <is>
          <t>01</t>
        </is>
      </c>
      <c r="B6" t="inlineStr">
        <is>
          <t>Instruction How good are you at remembering associations between colors and
		digits? In this task you have to memorize colors of
		digits with different values and update these color-digit
			associations correspondingly whenever new information is presented. For this purpose, in the memorization phase ,
		four digits (between 1 and 9) are displayed in different colors ( red , blue , green , and orange ). You have to memorize these
		color-digit associations. Important: In some trials, you'll be asked to recall the correct associations
		immediately after the memorization phase. Therefore, make sure to
		memorize them really well. Please press the right
			arrow key to proceed to the next page.</t>
        </is>
      </c>
      <c r="C6" t="inlineStr"/>
      <c r="D6" t="inlineStr">
        <is>
          <t>number</t>
        </is>
      </c>
    </row>
    <row r="7">
      <c r="A7" t="inlineStr">
        <is>
          <t>01</t>
        </is>
      </c>
      <c r="B7" t="inlineStr">
        <is>
          <t>Instruction How good are you at remembering associations between colors and
		shapes? In this task you have to memorize shapes in
		different colors and update these color-shape
			associations correspondingly whenever new information is presented. For this purpose, in the memorization phase ,
		five shapes (circle, triangle, square, diamond, and hexagon) are
		displayed in different colors. You have to memorize these color-shape
		associations. Important: In some
		trials, you'll be asked to recall the correct associations immediately
		after the memorization phase. Therefore, make sure to memorize them
		really well. Please press the right
			arrow key to proceed to the next page.</t>
        </is>
      </c>
      <c r="C7" t="inlineStr"/>
      <c r="D7" t="inlineStr">
        <is>
          <t>color</t>
        </is>
      </c>
    </row>
    <row r="8">
      <c r="A8" t="inlineStr">
        <is>
          <t>02</t>
        </is>
      </c>
      <c r="B8" t="inlineStr">
        <is>
          <t>Instruction Next, the updating phase follows. Some of the
		previously memorized shapes are now presented again, in the same or in
		a new color. You have to remember each shape's current
			color . In the recall phase at
		the end of each trial, you'll be asked to choose the current color of
		each of the shapes from all possible alternatives. Please click with the mouse on the color in which the shape was presented last. Please try to answer as accurately as possible. Please press the right
			arrow key to proceed to the next page.</t>
        </is>
      </c>
      <c r="C8" t="inlineStr"/>
      <c r="D8" t="inlineStr">
        <is>
          <t>color</t>
        </is>
      </c>
    </row>
    <row r="9">
      <c r="A9" t="inlineStr">
        <is>
          <t>05</t>
        </is>
      </c>
      <c r="B9" t="inlineStr">
        <is>
          <t>Let's go! You completed all practice trials. Important: During the test trials, you
		will not get any feedback on the accuracy of your responses. This task takes about 10 minutes, and you can take a short break in
		the middle. Remember: Click with the mouse on the color in which the shape
		was presented last. Ready? If you have any questions, please ask
			the experimenter now. As soon as you press the right arrow key , a countdown starts
		counting down from 3. The test starts immediately afterwards. Have fun!</t>
        </is>
      </c>
      <c r="C9" t="inlineStr"/>
      <c r="D9" t="inlineStr">
        <is>
          <t>color</t>
        </is>
      </c>
    </row>
    <row r="10">
      <c r="A10" t="inlineStr">
        <is>
          <t>05_v1</t>
        </is>
      </c>
      <c r="B10" t="inlineStr">
        <is>
          <t>Let's go! You completed all practice trials. Important: During the test trials, you
		will not get any feedback on the accuracy of your responses. This task takes about 10 minutes, and you can take a short break in
		the middle. Remember: Click with the mouse on the color in which the shape
		was presented last. Ready? As soon as you press the right arrow key , a countdown starts
		counting down from 3. The test starts immediately afterwards. Have fun!</t>
        </is>
      </c>
      <c r="C10" t="inlineStr"/>
      <c r="D10" t="inlineStr">
        <is>
          <t>color</t>
        </is>
      </c>
    </row>
    <row r="11">
      <c r="A11" t="inlineStr">
        <is>
          <t>04</t>
        </is>
      </c>
      <c r="B11" t="inlineStr">
        <is>
          <t>Instruction Before the actual test starts, you will first do some practice trials
		to get used to the task. As soon as you press the right arrow key , a countdown starts
		counting down from 3. The practice trials start immediately
		afterwards.</t>
        </is>
      </c>
      <c r="C11" t="inlineStr"/>
      <c r="D11" t="inlineStr">
        <is>
          <t>color</t>
        </is>
      </c>
    </row>
    <row r="12">
      <c r="A12" t="inlineStr">
        <is>
          <t>03</t>
        </is>
      </c>
      <c r="B12" t="inlineStr">
        <is>
          <t>Instruction The following example illustrates the procedure : Please press the right
			arrow key to proceed to the next page.</t>
        </is>
      </c>
      <c r="C12">
        <f>IMAGE("https://raw.githubusercontent.com/tatool/tatool-web/master/app/projects/public/uzh-ef-battery/instructions/colorshape_example.png")</f>
        <v/>
      </c>
      <c r="D12" t="inlineStr">
        <is>
          <t>color</t>
        </is>
      </c>
    </row>
    <row r="13">
      <c r="A13" t="inlineStr">
        <is>
          <t>04</t>
        </is>
      </c>
      <c r="B13" t="inlineStr">
        <is>
          <t>Instruction Before the actual test starts, you will first do some practice trials
		to get used to the task. As soon as you press the right arrow key , a countdown starts
		counting down from 3. The practice trials start immediately
		afterwards.</t>
        </is>
      </c>
      <c r="C13" t="inlineStr"/>
      <c r="D13" t="inlineStr">
        <is>
          <t>letter</t>
        </is>
      </c>
    </row>
    <row r="14">
      <c r="A14" t="inlineStr">
        <is>
          <t>02</t>
        </is>
      </c>
      <c r="B14" t="inlineStr">
        <is>
          <t>Instruction Next, the updating phase follows. Some of the
		previously memorized consonants are now presented again, at the same
		or at a new position. You have to remember each consonants' current
			position . In the recall phase at
		the end of each trial, you'll be asked to enter the current consonant
		for each of the positions using the keyboard. Please
		try to answer as accurately as possible. Please press the right
			arrow key to proceed to the next page.</t>
        </is>
      </c>
      <c r="C14" t="inlineStr"/>
      <c r="D14" t="inlineStr">
        <is>
          <t>letter</t>
        </is>
      </c>
    </row>
    <row r="15">
      <c r="A15" t="inlineStr">
        <is>
          <t>05</t>
        </is>
      </c>
      <c r="B15" t="inlineStr">
        <is>
          <t>Let's go! You completed all practice trials. Important: During the test trials, you
		will not get any feedback on the accuracy of your responses. This task takes about 10 minutes, and you can take a short break in
		the middle. Remember: For each position, enter the consonant that was last presented there. Ready? If you have any questions, please ask
			the experimenter now. As soon as you press the right arrow key , a countdown starts
		counting down from 3. The test starts immediately afterwards. Have fun!</t>
        </is>
      </c>
      <c r="C15" t="inlineStr"/>
      <c r="D15" t="inlineStr">
        <is>
          <t>letter</t>
        </is>
      </c>
    </row>
    <row r="16">
      <c r="A16" t="inlineStr">
        <is>
          <t>03</t>
        </is>
      </c>
      <c r="B16" t="inlineStr">
        <is>
          <t>Instruction The following example illustrates the procedure : Please press the right
			arrow key to proceed to the next page.</t>
        </is>
      </c>
      <c r="C16">
        <f>IMAGE("https://raw.githubusercontent.com/tatool/tatool-web/master/app/projects/public/uzh-ef-battery/instructions/letterposition_example.png")</f>
        <v/>
      </c>
      <c r="D16" t="inlineStr">
        <is>
          <t>letter</t>
        </is>
      </c>
    </row>
    <row r="17">
      <c r="A17" t="inlineStr">
        <is>
          <t>01</t>
        </is>
      </c>
      <c r="B17" t="inlineStr">
        <is>
          <t>Instruction How good are you at remembering associations between letters and their
		positions? In this task you have to memorize
		consonants at different positions and update these consonant-position
			associations correspondingly whenever new information is presented. For this purpose, in the memorization phase ,
		five consonants are displayed at different positions. You have to
		memorize these consonant-position associations. Important: In some trials, you'll be asked to recall the correct associations
		immediately after the memorization phase. Therefore, make sure to
		memorize them really well. Please press the right
			arrow key to proceed to the next page.</t>
        </is>
      </c>
      <c r="C17" t="inlineStr"/>
      <c r="D17" t="inlineStr">
        <is>
          <t>letter</t>
        </is>
      </c>
    </row>
    <row r="18">
      <c r="A18" t="inlineStr">
        <is>
          <t>05_v1</t>
        </is>
      </c>
      <c r="B18" t="inlineStr">
        <is>
          <t>Let's go! You completed all practice trials. Important: During the test trials, you
		will not get any feedback on the accuracy of your responses. This task takes about 10 minutes, and you can take a short break in
		the middle. Remember: For each position, enter the consonant that was last presented there. Ready? As soon as you press the right arrow key , a countdown starts
		counting down from 3. The test starts immediately afterwards. Have fun!</t>
        </is>
      </c>
      <c r="C18" t="inlineStr"/>
      <c r="D18" t="inlineStr">
        <is>
          <t>letter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_index</t>
        </is>
      </c>
      <c r="B1" s="1" t="inlineStr">
        <is>
          <t>content</t>
        </is>
      </c>
      <c r="C1" s="1" t="inlineStr">
        <is>
          <t>ImageUrl</t>
        </is>
      </c>
      <c r="D1" s="1" t="inlineStr">
        <is>
          <t>ExecutorName</t>
        </is>
      </c>
    </row>
    <row r="2">
      <c r="A2" t="inlineStr">
        <is>
          <t>02</t>
        </is>
      </c>
      <c r="B2" t="inlineStr">
        <is>
          <t>Instruction The following example illustrates the procedure : Please press the right
			arrow key to proceed to the next page.</t>
        </is>
      </c>
      <c r="C2">
        <f>IMAGE("https://raw.githubusercontent.com/tatool/tatool-web/master/app/projects/public/uzh-ef-battery/instructions/inhibition_flanker_example.png")</f>
        <v/>
      </c>
      <c r="D2" t="inlineStr">
        <is>
          <t>flanker</t>
        </is>
      </c>
    </row>
    <row r="3">
      <c r="A3" t="inlineStr">
        <is>
          <t>03</t>
        </is>
      </c>
      <c r="B3" t="inlineStr">
        <is>
          <t>Instruction Before the actual test starts, you will first do some practice trials
		to get used to the task. As soon as you press the right arrow key , a countdown starts
		counting down from 3. The practice trials start immediately
		afterwards.</t>
        </is>
      </c>
      <c r="C3" t="inlineStr"/>
      <c r="D3" t="inlineStr">
        <is>
          <t>flanker</t>
        </is>
      </c>
    </row>
    <row r="4">
      <c r="A4" t="inlineStr">
        <is>
          <t>01_v1</t>
        </is>
      </c>
      <c r="B4" t="inlineStr">
        <is>
          <t>Instruction This task measures the ability to focus on relevant and to ignore
		irrelevant information. You'll have to decide
		whether the centrally presented letter in a string of characters is a vowel (A or E) or a consonant (S or
			T) . React only to the letter in the center and try
		to ignore the surrounding characters. Please use your right index finger to press the left arrow key and your right ring finger to press the right arrow key. Press the left
						arrow key if the letter is a vowel . Press the right
						arrow key if the letter is a consonant . Please try to answer as accurately and as
		quickly as possible. Please press the right
			arrow key to proceed to the next page.</t>
        </is>
      </c>
      <c r="C4">
        <f>IMAGE("https://raw.githubusercontent.com/tatool/tatool-web/master/app/projects/public/uzh-ef-battery/instructions/key_arrow_L.png")</f>
        <v/>
      </c>
      <c r="D4" t="inlineStr">
        <is>
          <t>flanker</t>
        </is>
      </c>
    </row>
    <row r="5">
      <c r="A5" t="inlineStr">
        <is>
          <t>01</t>
        </is>
      </c>
      <c r="B5" t="inlineStr">
        <is>
          <t>Instruction This task measures the ability to focus on relevant and to ignore
		irrelevant information. You'll have to decide
		whether the centrally presented letter in a string of characters is a vowel (A or E) or a consonant (S or
			T) . React only to the letter in the center and try
		to ignore the surrounding characters. Press the left
						arrow key if the letter is a vowel . Press the right
						arrow key if the letter is a consonant . Please try to answer as accurately and as
		quickly as possible. Please press the right
			arrow key to proceed to the next page.</t>
        </is>
      </c>
      <c r="C5">
        <f>IMAGE("https://raw.githubusercontent.com/tatool/tatool-web/master/app/projects/public/uzh-ef-battery/instructions/key_arrow_L.png")</f>
        <v/>
      </c>
      <c r="D5" t="inlineStr">
        <is>
          <t>flanker</t>
        </is>
      </c>
    </row>
    <row r="6">
      <c r="A6" t="inlineStr">
        <is>
          <t>04</t>
        </is>
      </c>
      <c r="B6" t="inlineStr">
        <is>
          <t>Let's go! You completed all practice trials. Important: During the test trials, you
		will not get any feedback on the accuracy of your responses. This task takes about 5 minutes. Remember: Press the left
						arrow key if the letter is a vowel . Press the right
						arrow key if the letter is a consonant . Ready? If you have any questions, please ask
			the experimenter now. As soon as you press the right arrow key , a countdown starts
		counting down from 3. The test starts immediately afterwards. Have fun!</t>
        </is>
      </c>
      <c r="C6">
        <f>IMAGE("https://raw.githubusercontent.com/tatool/tatool-web/master/app/projects/public/uzh-ef-battery/instructions/key_arrow_L.png")</f>
        <v/>
      </c>
      <c r="D6" t="inlineStr">
        <is>
          <t>flanker</t>
        </is>
      </c>
    </row>
    <row r="7">
      <c r="A7" t="inlineStr">
        <is>
          <t>04_v1</t>
        </is>
      </c>
      <c r="B7" t="inlineStr">
        <is>
          <t>Let's go! You completed all practice trials. Important: During the test trials, you
		will not get any feedback on the accuracy of your responses. This task takes about 5 minutes. Remember: Please use your right index finger to press the left arrow key and your right ring finger to press the right arrow key. Press the left
						arrow key if the letter is a vowel . Press the right
						arrow key if the letter is a consonant . Ready? As soon as you press the right arrow key , a countdown starts
		counting down from 3. The test starts immediately afterwards. Have fun!</t>
        </is>
      </c>
      <c r="C7">
        <f>IMAGE("https://raw.githubusercontent.com/tatool/tatool-web/master/app/projects/public/uzh-ef-battery/instructions/key_arrow_L.png")</f>
        <v/>
      </c>
      <c r="D7" t="inlineStr">
        <is>
          <t>flanker</t>
        </is>
      </c>
    </row>
    <row r="8">
      <c r="A8" t="inlineStr">
        <is>
          <t>04_v1</t>
        </is>
      </c>
      <c r="B8" t="inlineStr">
        <is>
          <t>Let's go! You completed all practice trials. Important: During the test trials, you
		will not get any feedback on the accuracy of your responses. This task takes about 5 minutes. Remember: Please use your right index finger to press the left arrow key and your right ring finger to press the right arrow key. Press
					the left arrow key if the circle is green . Press
					the right arrow key if the circle is red . Ready? As soon as you press the right arrow key , a countdown starts
		counting down from 3. The test starts immediately afterwards. Have fun!</t>
        </is>
      </c>
      <c r="C8">
        <f>IMAGE("https://raw.githubusercontent.com/tatool/tatool-web/master/app/projects/public/uzh-ef-battery/instructions/inhibit_simon_greencircle.png")</f>
        <v/>
      </c>
      <c r="D8" t="inlineStr">
        <is>
          <t>simon</t>
        </is>
      </c>
    </row>
    <row r="9">
      <c r="A9" t="inlineStr">
        <is>
          <t>02</t>
        </is>
      </c>
      <c r="B9" t="inlineStr">
        <is>
          <t>Instruction The following example illustrates the procedure : Please press the right
			arrow key to proceed to the next page.</t>
        </is>
      </c>
      <c r="C9">
        <f>IMAGE("https://raw.githubusercontent.com/tatool/tatool-web/master/app/projects/public/uzh-ef-battery/instructions/inhibition_simon_example.png")</f>
        <v/>
      </c>
      <c r="D9" t="inlineStr">
        <is>
          <t>simon</t>
        </is>
      </c>
    </row>
    <row r="10">
      <c r="A10" t="inlineStr">
        <is>
          <t>01</t>
        </is>
      </c>
      <c r="B10" t="inlineStr">
        <is>
          <t>Instruction This task measures the ability to focus on relevant and to ignore
		irrelevant information. You'll have to decide
		whether a circle is green or red by
		pressing a left or a right key. The difficulty lies in the circle
		being presented in the left or right half of the screen independent of
		its color. Thus, the circle's position won't always correspond to the
		location of the correct answer key (i.e., left or right). Press
					the left arrow key if the circle is green . Press
					the right arrow key if the circle is red . Please try to answer as accurately and as
		quickly as possible. Please press the right
			arrow key to proceed to the next page.</t>
        </is>
      </c>
      <c r="C10">
        <f>IMAGE("https://raw.githubusercontent.com/tatool/tatool-web/master/app/projects/public/uzh-ef-battery/instructions/inhibit_simon_greencircle.png")</f>
        <v/>
      </c>
      <c r="D10" t="inlineStr">
        <is>
          <t>simon</t>
        </is>
      </c>
    </row>
    <row r="11">
      <c r="A11" t="inlineStr">
        <is>
          <t>01_v1</t>
        </is>
      </c>
      <c r="B11" t="inlineStr">
        <is>
          <t>Instruction This task measures the ability to focus on relevant and to ignore
		irrelevant information. You'll have to decide
		whether a circle is green or red by
		pressing a left or a right key. The difficulty lies in the circle
		being presented in the left or right half of the screen independent of
		its color. Thus, the circle's position won't always correspond to the
		location of the correct answer key (i.e., left or right). Please use your right index finger to press the left arrow key and your right ring finger to press the right arrow key. Press
					the left arrow key if the circle is green . Press
					the right arrow key if the circle is red . Please try to answer as accurately and as
		quickly as possible. Please press the right
			arrow key to proceed to the next page.</t>
        </is>
      </c>
      <c r="C11">
        <f>IMAGE("https://raw.githubusercontent.com/tatool/tatool-web/master/app/projects/public/uzh-ef-battery/instructions/inhibit_simon_greencircle.png")</f>
        <v/>
      </c>
      <c r="D11" t="inlineStr">
        <is>
          <t>simon</t>
        </is>
      </c>
    </row>
    <row r="12">
      <c r="A12" t="inlineStr">
        <is>
          <t>03</t>
        </is>
      </c>
      <c r="B12" t="inlineStr">
        <is>
          <t>Instruction Before the actual test starts, you will first do some practice trials
		to get used to the task. As soon as you press the right arrow key , a countdown starts
		counting down from 3. The practice trials start immediately
		afterwards.</t>
        </is>
      </c>
      <c r="C12" t="inlineStr"/>
      <c r="D12" t="inlineStr">
        <is>
          <t>simon</t>
        </is>
      </c>
    </row>
    <row r="13">
      <c r="A13" t="inlineStr">
        <is>
          <t>04</t>
        </is>
      </c>
      <c r="B13" t="inlineStr">
        <is>
          <t>Let's go! You completed all practice trials. Important: During the test trials, you
		will not get any feedback on the accuracy of your responses. This task takes about 5 minutes. Remember: Press
					the left arrow key if the circle is green . Press
					the right arrow key if the circle is red . Ready? If you have any questions, please ask
			the experimenter now. As soon as you press the right arrow key , a countdown starts
		counting down from 3. The test starts immediately afterwards. Have fun!</t>
        </is>
      </c>
      <c r="C13">
        <f>IMAGE("https://raw.githubusercontent.com/tatool/tatool-web/master/app/projects/public/uzh-ef-battery/instructions/inhibit_simon_greencircle.png")</f>
        <v/>
      </c>
      <c r="D13" t="inlineStr">
        <is>
          <t>simon</t>
        </is>
      </c>
    </row>
    <row r="14">
      <c r="A14" t="inlineStr">
        <is>
          <t>01</t>
        </is>
      </c>
      <c r="B14" t="inlineStr">
        <is>
          <t>Instruction This task measures the ability to focus on relevant and to ignore
		irrelevant information. You'll have to count the number
			of characters presented and press the corresponding number
			key (on the top row of your keyboard). As soon as you pressed a key,
		the next string of characters will be presented. The difficulty is
		that the number of characters being displayed can differ from their
		actual magnitude. Please try to answer as accurately and as
		quickly as possible. Please press the right
			arrow key to proceed to the next page.</t>
        </is>
      </c>
      <c r="C14" t="inlineStr"/>
      <c r="D14" t="inlineStr">
        <is>
          <t>stroop</t>
        </is>
      </c>
    </row>
    <row r="15">
      <c r="A15" t="inlineStr">
        <is>
          <t>02</t>
        </is>
      </c>
      <c r="B15" t="inlineStr">
        <is>
          <t>Instruction The following example illustrates the procedure : Please press the right
			arrow key to proceed to the next page.</t>
        </is>
      </c>
      <c r="C15">
        <f>IMAGE("https://raw.githubusercontent.com/tatool/tatool-web/master/app/projects/public/uzh-ef-battery/instructions/inhibition_stroop_example.png")</f>
        <v/>
      </c>
      <c r="D15" t="inlineStr">
        <is>
          <t>stroop</t>
        </is>
      </c>
    </row>
    <row r="16">
      <c r="A16" t="inlineStr">
        <is>
          <t>03</t>
        </is>
      </c>
      <c r="B16" t="inlineStr">
        <is>
          <t>Instruction Before the actual test starts, you will first do some practice trials
		to get used to the task. As soon as you press the right arrow key , a countdown starts
		counting down from 3. The practice trials start immediately
		afterwards.</t>
        </is>
      </c>
      <c r="C16" t="inlineStr"/>
      <c r="D16" t="inlineStr">
        <is>
          <t>stroop</t>
        </is>
      </c>
    </row>
    <row r="17">
      <c r="A17" t="inlineStr">
        <is>
          <t>04</t>
        </is>
      </c>
      <c r="B17" t="inlineStr">
        <is>
          <t>Let's go! You completed all practice trials. Important: During the test trials, you
		will not get any feedback on the correctness of your responses. This task takes about 5 minutes. Remember: Count the number
			of characters presented and press the corresponding number
			key (on the top row of your keyboard). Ready? If you have any questions, please ask
			the experimenter now. As soon as you press the right arrow key , a countdown starts
		counting down from 3. The test start immediately afterwards. Have fun!</t>
        </is>
      </c>
      <c r="C17" t="inlineStr"/>
      <c r="D17" t="inlineStr">
        <is>
          <t>stroop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2025-08-11T17:36:03Z</dcterms:created>
  <dcterms:modified xsi:type="dcterms:W3CDTF">2025-08-11T17:36:03Z</dcterms:modified>
</cp:coreProperties>
</file>